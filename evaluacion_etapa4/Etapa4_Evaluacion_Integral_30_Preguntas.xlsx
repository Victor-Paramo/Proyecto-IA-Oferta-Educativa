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5fafa4805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cion" sheetId="1" r:id="Rc8737c57918d4def"/>
    <x:sheet xmlns:r="http://schemas.openxmlformats.org/officeDocument/2006/relationships" name="Resumen" sheetId="2" r:id="R0df11fdcaa024eab"/>
    <x:sheet xmlns:r="http://schemas.openxmlformats.org/officeDocument/2006/relationships" name="Instrucciones" sheetId="3" r:id="Rc8b08db924ff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5"/>
      <x:color rgb="FFFFFFFF"/>
      <x:name val="Carlito"/>
    </x:font>
    <x:font>
      <x:b/>
      <x:sz val="11"/>
      <x:color rgb="FF243447"/>
      <x:name val="Carlito"/>
    </x:font>
    <x:font>
      <x:sz val="10"/>
      <x:color rgb="FF526273"/>
      <x:name val="Carlito"/>
    </x:font>
    <x:font>
      <x:sz val="11"/>
      <x:color rgb="FF26344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0F4F8"/>
      </x:patternFill>
    </x:fill>
    <x:fill>
      <x:patternFill patternType="solid">
        <x:fgColor rgb="FFE6ECF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5F3EB"/>
        </x:patternFill>
      </x:fill>
    </x:dxf>
    <x:dxf>
      <x:fill>
        <x:patternFill patternType="solid">
          <x:bgColor rgb="FFF9E5E5"/>
        </x:patternFill>
      </x:fill>
    </x:dxf>
    <x:dxf>
      <x:fill>
        <x:patternFill patternType="solid">
          <x:bgColor rgb="FFF9F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9fea6fa1146d9" /><Relationship Type="http://schemas.openxmlformats.org/officeDocument/2006/relationships/theme" Target="/xl/theme/theme1.xml" Id="R28f8ae32b4c448fd" /><Relationship Type="http://schemas.openxmlformats.org/officeDocument/2006/relationships/sharedStrings" Target="/xl/sharedStrings.xml" Id="R7e09f83d96b9406d" /><Relationship Type="http://schemas.openxmlformats.org/officeDocument/2006/relationships/worksheet" Target="/xl/worksheets/sheet1.xml" Id="Rc8737c57918d4def" /><Relationship Type="http://schemas.openxmlformats.org/officeDocument/2006/relationships/worksheet" Target="/xl/worksheets/sheet2.xml" Id="R0df11fdcaa024eab" /><Relationship Type="http://schemas.openxmlformats.org/officeDocument/2006/relationships/worksheet" Target="/xl/worksheets/sheet3.xml" Id="Rc8b08db924ff45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9" hidden="0" customWidth="1"/>
    <x:col min="3" max="3" width="8" hidden="0" customWidth="1"/>
    <x:col min="4" max="4" width="25" hidden="0" customWidth="1"/>
    <x:col min="5" max="5" width="54" hidden="0" customWidth="1"/>
    <x:col min="6" max="6" width="24" hidden="0" customWidth="1"/>
    <x:col min="7" max="7" width="82" hidden="0" customWidth="1"/>
    <x:col min="8" max="8" width="16" hidden="0" customWidth="1"/>
    <x:col min="9" max="9" width="62" hidden="0" customWidth="1"/>
    <x:col min="10" max="10" width="48" hidden="0" customWidth="1"/>
    <x:col min="11" max="11" width="14" hidden="0" customWidth="1"/>
  </x:cols>
  <x:sheetData>
    <x:row r="1" ht="32" customHeight="1">
      <x:c r="A1" s="4" t="str">
        <x:v>ID</x:v>
      </x:c>
      <x:c r="B1" s="4" t="str">
        <x:v>Sesión</x:v>
      </x:c>
      <x:c r="C1" s="4" t="str">
        <x:v>Turno</x:v>
      </x:c>
      <x:c r="D1" s="4" t="str">
        <x:v>Categoría</x:v>
      </x:c>
      <x:c r="E1" s="4" t="str">
        <x:v>Pregunta del estudiante</x:v>
      </x:c>
      <x:c r="F1" s="4" t="str">
        <x:v>Intención esperada*</x:v>
      </x:c>
      <x:c r="G1" s="4" t="str">
        <x:v>Criterio de respuesta adecuada</x:v>
      </x:c>
      <x:c r="H1" s="4" t="str">
        <x:v>Resultado</x:v>
      </x:c>
      <x:c r="I1" s="4" t="str">
        <x:v>Respuesta observada</x:v>
      </x:c>
      <x:c r="J1" s="4" t="str">
        <x:v>Error o comentario</x:v>
      </x:c>
      <x:c r="K1" s="4" t="str">
        <x:v>Gravedad</x:v>
      </x:c>
    </x:row>
    <x:row r="2" ht="50" customHeight="1">
      <x:c r="A2" s="14" t="str">
        <x:v>P01</x:v>
      </x:c>
      <x:c r="B2" s="14" t="n">
        <x:v>1</x:v>
      </x:c>
      <x:c r="C2" s="14" t="n">
        <x:v>1</x:v>
      </x:c>
      <x:c r="D2" s="14" t="str">
        <x:v>Bienvenida y orientación</x:v>
      </x:c>
      <x:c r="E2" s="14" t="str">
        <x:v>Buenas, quisiera orientación para elegir una licenciatura.</x:v>
      </x:c>
      <x:c r="F2" s="14" t="str">
        <x:v>orientacion_general</x:v>
      </x:c>
      <x:c r="G2" s="14" t="str">
        <x:v>Responder de forma útil y pedir intereses; no devolver carreras al azar.</x:v>
      </x:c>
      <x:c r="H2" s="14" t="str">
        <x:v>Sin evaluar</x:v>
      </x:c>
      <x:c r="I2" s="14" t="str"/>
      <x:c r="J2" s="14" t="str"/>
      <x:c r="K2" s="14" t="str"/>
    </x:row>
    <x:row r="3" ht="50" customHeight="1">
      <x:c r="A3" s="10" t="str">
        <x:v>P02</x:v>
      </x:c>
      <x:c r="B3" s="10" t="n">
        <x:v>1</x:v>
      </x:c>
      <x:c r="C3" s="10" t="n">
        <x:v>2</x:v>
      </x:c>
      <x:c r="D3" s="10" t="str">
        <x:v>Bienvenida y orientación</x:v>
      </x:c>
      <x:c r="E3" s="10" t="str">
        <x:v>Me gustan las matemáticas y resolver problemas de lógica.</x:v>
      </x:c>
      <x:c r="F3" s="10" t="str">
        <x:v>explorar_area</x:v>
      </x:c>
      <x:c r="G3" s="10" t="str">
        <x:v>Reconocer el interés o pedir precisión; no recomendar áreas ajenas sin evidencia.</x:v>
      </x:c>
      <x:c r="H3" s="10" t="str">
        <x:v>Sin evaluar</x:v>
      </x:c>
      <x:c r="I3" s="10" t="str"/>
      <x:c r="J3" s="10" t="str"/>
      <x:c r="K3" s="10" t="str"/>
    </x:row>
    <x:row r="4" ht="50" customHeight="1">
      <x:c r="A4" s="10" t="str">
        <x:v>P03</x:v>
      </x:c>
      <x:c r="B4" s="10" t="n">
        <x:v>1</x:v>
      </x:c>
      <x:c r="C4" s="10" t="n">
        <x:v>3</x:v>
      </x:c>
      <x:c r="D4" s="10" t="str">
        <x:v>Bienvenida y orientación</x:v>
      </x:c>
      <x:c r="E4" s="10" t="str">
        <x:v>Quisiera analizar cómo funcionan los circuitos electrónicos.</x:v>
      </x:c>
      <x:c r="F4" s="10" t="str">
        <x:v>explorar_area</x:v>
      </x:c>
      <x:c r="G4" s="10" t="str">
        <x:v>Ofrecer programas electrónicos registrados o aclarar las limitaciones.</x:v>
      </x:c>
      <x:c r="H4" s="10" t="str">
        <x:v>Sin evaluar</x:v>
      </x:c>
      <x:c r="I4" s="10" t="str"/>
      <x:c r="J4" s="10" t="str"/>
      <x:c r="K4" s="10" t="str"/>
    </x:row>
    <x:row r="5" ht="50" customHeight="1">
      <x:c r="A5" s="10" t="str">
        <x:v>P04</x:v>
      </x:c>
      <x:c r="B5" s="10" t="n">
        <x:v>1</x:v>
      </x:c>
      <x:c r="C5" s="10" t="n">
        <x:v>4</x:v>
      </x:c>
      <x:c r="D5" s="10" t="str">
        <x:v>Bienvenida y orientación</x:v>
      </x:c>
      <x:c r="E5" s="10" t="str">
        <x:v>¿Y cuáles de esas opciones tienen clases presenciales?</x:v>
      </x:c>
      <x:c r="F5" s="10" t="str">
        <x:v>filtrar_modalidad</x:v>
      </x:c>
      <x:c r="G5" s="10" t="str">
        <x:v>Conservar programas del turno anterior y filtrar ESCOLARIZADA; si no hay resultados, decirlo.</x:v>
      </x:c>
      <x:c r="H5" s="10" t="str">
        <x:v>Sin evaluar</x:v>
      </x:c>
      <x:c r="I5" s="10" t="str"/>
      <x:c r="J5" s="10" t="str"/>
      <x:c r="K5" s="10" t="str"/>
    </x:row>
    <x:row r="6" ht="50" customHeight="1">
      <x:c r="A6" s="10" t="str">
        <x:v>P05</x:v>
      </x:c>
      <x:c r="B6" s="10" t="n">
        <x:v>1</x:v>
      </x:c>
      <x:c r="C6" s="10" t="n">
        <x:v>5</x:v>
      </x:c>
      <x:c r="D6" s="10" t="str">
        <x:v>Bienvenida y orientación</x:v>
      </x:c>
      <x:c r="E6" s="10" t="str">
        <x:v>Muchas gracias, me ayudaste.</x:v>
      </x:c>
      <x:c r="F6" s="10" t="str">
        <x:v>cortesia</x:v>
      </x:c>
      <x:c r="G6" s="10" t="str">
        <x:v>Responder al agradecimiento sin iniciar búsquedas ni inventar ofertas.</x:v>
      </x:c>
      <x:c r="H6" s="10" t="str">
        <x:v>Sin evaluar</x:v>
      </x:c>
      <x:c r="I6" s="10" t="str"/>
      <x:c r="J6" s="10" t="str"/>
      <x:c r="K6" s="10" t="str"/>
    </x:row>
    <x:row r="7" ht="50" customHeight="1">
      <x:c r="A7" s="14" t="str">
        <x:v>P06</x:v>
      </x:c>
      <x:c r="B7" s="14" t="n">
        <x:v>2</x:v>
      </x:c>
      <x:c r="C7" s="14" t="n">
        <x:v>1</x:v>
      </x:c>
      <x:c r="D7" s="14" t="str">
        <x:v>Instituciones y seguimiento</x:v>
      </x:c>
      <x:c r="E7" s="14" t="str">
        <x:v>Muéstrame la oferta académica de la Universidad Panamericana.</x:v>
      </x:c>
      <x:c r="F7" s="14" t="str">
        <x:v>buscar_institucion</x:v>
      </x:c>
      <x:c r="G7" s="14" t="str">
        <x:v>Consultar esa institución en PostgreSQL; enumerar ofertas reales.</x:v>
      </x:c>
      <x:c r="H7" s="14" t="str">
        <x:v>Sin evaluar</x:v>
      </x:c>
      <x:c r="I7" s="14" t="str"/>
      <x:c r="J7" s="14" t="str"/>
      <x:c r="K7" s="14" t="str"/>
    </x:row>
    <x:row r="8" ht="50" customHeight="1">
      <x:c r="A8" s="10" t="str">
        <x:v>P07</x:v>
      </x:c>
      <x:c r="B8" s="10" t="n">
        <x:v>2</x:v>
      </x:c>
      <x:c r="C8" s="10" t="n">
        <x:v>2</x:v>
      </x:c>
      <x:c r="D8" s="10" t="str">
        <x:v>Instituciones y seguimiento</x:v>
      </x:c>
      <x:c r="E8" s="10" t="str">
        <x:v>¿Y cuáles son semipresenciales?</x:v>
      </x:c>
      <x:c r="F8" s="10" t="str">
        <x:v>filtrar_modalidad</x:v>
      </x:c>
      <x:c r="G8" s="10" t="str">
        <x:v>Conservar Universidad Panamericana y aplicar MIXTA; no cambiar institución.</x:v>
      </x:c>
      <x:c r="H8" s="10" t="str">
        <x:v>Sin evaluar</x:v>
      </x:c>
      <x:c r="I8" s="10" t="str"/>
      <x:c r="J8" s="10" t="str"/>
      <x:c r="K8" s="10" t="str"/>
    </x:row>
    <x:row r="9" ht="50" customHeight="1">
      <x:c r="A9" s="10" t="str">
        <x:v>P08</x:v>
      </x:c>
      <x:c r="B9" s="10" t="n">
        <x:v>2</x:v>
      </x:c>
      <x:c r="C9" s="10" t="n">
        <x:v>3</x:v>
      </x:c>
      <x:c r="D9" s="10" t="str">
        <x:v>Instituciones y seguimiento</x:v>
      </x:c>
      <x:c r="E9" s="10" t="str">
        <x:v>Ahora solo las presenciales.</x:v>
      </x:c>
      <x:c r="F9" s="10" t="str">
        <x:v>filtrar_modalidad</x:v>
      </x:c>
      <x:c r="G9" s="10" t="str">
        <x:v>Conservar institución y cambiar únicamente modalidad a ESCOLARIZADA.</x:v>
      </x:c>
      <x:c r="H9" s="10" t="str">
        <x:v>Sin evaluar</x:v>
      </x:c>
      <x:c r="I9" s="10" t="str"/>
      <x:c r="J9" s="10" t="str"/>
      <x:c r="K9" s="10" t="str"/>
    </x:row>
    <x:row r="10" ht="50" customHeight="1">
      <x:c r="A10" s="10" t="str">
        <x:v>P09</x:v>
      </x:c>
      <x:c r="B10" s="10" t="n">
        <x:v>2</x:v>
      </x:c>
      <x:c r="C10" s="10" t="n">
        <x:v>4</x:v>
      </x:c>
      <x:c r="D10" s="10" t="str">
        <x:v>Instituciones y seguimiento</x:v>
      </x:c>
      <x:c r="E10" s="10" t="str">
        <x:v>Cambiemos: quiero conocer el Instituto SAE.</x:v>
      </x:c>
      <x:c r="F10" s="10" t="str">
        <x:v>buscar_institucion</x:v>
      </x:c>
      <x:c r="G10" s="10" t="str">
        <x:v>Cambiar de institución, eliminar filtros anteriores y consultar ofertas de Instituto SAE.</x:v>
      </x:c>
      <x:c r="H10" s="10" t="str">
        <x:v>Sin evaluar</x:v>
      </x:c>
      <x:c r="I10" s="10" t="str"/>
      <x:c r="J10" s="10" t="str"/>
      <x:c r="K10" s="10" t="str"/>
    </x:row>
    <x:row r="11" ht="50" customHeight="1">
      <x:c r="A11" s="10" t="str">
        <x:v>P10</x:v>
      </x:c>
      <x:c r="B11" s="10" t="n">
        <x:v>2</x:v>
      </x:c>
      <x:c r="C11" s="10" t="n">
        <x:v>5</x:v>
      </x:c>
      <x:c r="D11" s="10" t="str">
        <x:v>Instituciones y seguimiento</x:v>
      </x:c>
      <x:c r="E11" s="10" t="str">
        <x:v>¿Y cuáles son mixtas?</x:v>
      </x:c>
      <x:c r="F11" s="10" t="str">
        <x:v>filtrar_modalidad</x:v>
      </x:c>
      <x:c r="G11" s="10" t="str">
        <x:v>Filtrar MIXTA exclusivamente dentro de Instituto SAE.</x:v>
      </x:c>
      <x:c r="H11" s="10" t="str">
        <x:v>Sin evaluar</x:v>
      </x:c>
      <x:c r="I11" s="10" t="str"/>
      <x:c r="J11" s="10" t="str"/>
      <x:c r="K11" s="10" t="str"/>
    </x:row>
    <x:row r="12" ht="50" customHeight="1">
      <x:c r="A12" s="14" t="str">
        <x:v>P11</x:v>
      </x:c>
      <x:c r="B12" s="14" t="n">
        <x:v>3</x:v>
      </x:c>
      <x:c r="C12" s="14" t="n">
        <x:v>1</x:v>
      </x:c>
      <x:c r="D12" s="14" t="str">
        <x:v>Programas y ausencia</x:v>
      </x:c>
      <x:c r="E12" s="14" t="str">
        <x:v>Busco dónde cursar Arquitectura.</x:v>
      </x:c>
      <x:c r="F12" s="14" t="str">
        <x:v>buscar_programa</x:v>
      </x:c>
      <x:c r="G12" s="14" t="str">
        <x:v>Identificar Arquitectura y recuperar instituciones registradas, no ofertas ajenas.</x:v>
      </x:c>
      <x:c r="H12" s="14" t="str">
        <x:v>Sin evaluar</x:v>
      </x:c>
      <x:c r="I12" s="14" t="str"/>
      <x:c r="J12" s="14" t="str"/>
      <x:c r="K12" s="14" t="str"/>
    </x:row>
    <x:row r="13" ht="50" customHeight="1">
      <x:c r="A13" s="10" t="str">
        <x:v>P12</x:v>
      </x:c>
      <x:c r="B13" s="10" t="n">
        <x:v>3</x:v>
      </x:c>
      <x:c r="C13" s="10" t="n">
        <x:v>2</x:v>
      </x:c>
      <x:c r="D13" s="10" t="str">
        <x:v>Programas y ausencia</x:v>
      </x:c>
      <x:c r="E13" s="10" t="str">
        <x:v>¿Y las opciones no escolarizadas?</x:v>
      </x:c>
      <x:c r="F13" s="10" t="str">
        <x:v>filtrar_modalidad</x:v>
      </x:c>
      <x:c r="G13" s="10" t="str">
        <x:v>Mantener Arquitectura y aplicar NO ESCOLARIZADA; aceptar cero ofertas si es lo que arroja SQL.</x:v>
      </x:c>
      <x:c r="H13" s="10" t="str">
        <x:v>Sin evaluar</x:v>
      </x:c>
      <x:c r="I13" s="10" t="str"/>
      <x:c r="J13" s="10" t="str"/>
      <x:c r="K13" s="10" t="str"/>
    </x:row>
    <x:row r="14" ht="50" customHeight="1">
      <x:c r="A14" s="10" t="str">
        <x:v>P13</x:v>
      </x:c>
      <x:c r="B14" s="10" t="n">
        <x:v>3</x:v>
      </x:c>
      <x:c r="C14" s="10" t="n">
        <x:v>3</x:v>
      </x:c>
      <x:c r="D14" s="10" t="str">
        <x:v>Programas y ausencia</x:v>
      </x:c>
      <x:c r="E14" s="10" t="str">
        <x:v>Ahora me interesan las ofertas de Psicología.</x:v>
      </x:c>
      <x:c r="F14" s="10" t="str">
        <x:v>buscar_programa</x:v>
      </x:c>
      <x:c r="G14" s="10" t="str">
        <x:v>Cambiar a Psicología y abandonar los filtros de Arquitectura.</x:v>
      </x:c>
      <x:c r="H14" s="10" t="str">
        <x:v>Sin evaluar</x:v>
      </x:c>
      <x:c r="I14" s="10" t="str"/>
      <x:c r="J14" s="10" t="str"/>
      <x:c r="K14" s="10" t="str"/>
    </x:row>
    <x:row r="15" ht="50" customHeight="1">
      <x:c r="A15" s="10" t="str">
        <x:v>P14</x:v>
      </x:c>
      <x:c r="B15" s="10" t="n">
        <x:v>3</x:v>
      </x:c>
      <x:c r="C15" s="10" t="n">
        <x:v>4</x:v>
      </x:c>
      <x:c r="D15" s="10" t="str">
        <x:v>Programas y ausencia</x:v>
      </x:c>
      <x:c r="E15" s="10" t="str">
        <x:v>¿Y cuáles se imparten en modalidad mixta?</x:v>
      </x:c>
      <x:c r="F15" s="10" t="str">
        <x:v>filtrar_modalidad</x:v>
      </x:c>
      <x:c r="G15" s="10" t="str">
        <x:v>Conservar Psicología y filtrar MIXTA.</x:v>
      </x:c>
      <x:c r="H15" s="10" t="str">
        <x:v>Sin evaluar</x:v>
      </x:c>
      <x:c r="I15" s="10" t="str"/>
      <x:c r="J15" s="10" t="str"/>
      <x:c r="K15" s="10" t="str"/>
    </x:row>
    <x:row r="16" ht="50" customHeight="1">
      <x:c r="A16" s="10" t="str">
        <x:v>P15</x:v>
      </x:c>
      <x:c r="B16" s="10" t="n">
        <x:v>3</x:v>
      </x:c>
      <x:c r="C16" s="10" t="n">
        <x:v>5</x:v>
      </x:c>
      <x:c r="D16" s="10" t="str">
        <x:v>Programas y ausencia</x:v>
      </x:c>
      <x:c r="E16" s="10" t="str">
        <x:v>¿Dónde puedo estudiar Ingeniería de Dragones Espaciales?</x:v>
      </x:c>
      <x:c r="F16" s="10" t="str">
        <x:v>buscar_programa</x:v>
      </x:c>
      <x:c r="G16" s="10" t="str">
        <x:v>No inventar carrera ni universidad; declarar ausencia de coincidencia verificable.</x:v>
      </x:c>
      <x:c r="H16" s="10" t="str">
        <x:v>Sin evaluar</x:v>
      </x:c>
      <x:c r="I16" s="10" t="str"/>
      <x:c r="J16" s="10" t="str"/>
      <x:c r="K16" s="10" t="str"/>
    </x:row>
    <x:row r="17" ht="50" customHeight="1">
      <x:c r="A17" s="14" t="str">
        <x:v>P16</x:v>
      </x:c>
      <x:c r="B17" s="14" t="n">
        <x:v>4</x:v>
      </x:c>
      <x:c r="C17" s="14" t="n">
        <x:v>1</x:v>
      </x:c>
      <x:c r="D17" s="14" t="str">
        <x:v>Intereses y memoria</x:v>
      </x:c>
      <x:c r="E17" s="14" t="str">
        <x:v>Me encanta diseñar mecánicas para videojuegos.</x:v>
      </x:c>
      <x:c r="F17" s="14" t="str">
        <x:v>explorar_area</x:v>
      </x:c>
      <x:c r="G17" s="14" t="str">
        <x:v>Recuperar nombres de carreras de videojuegos del catálogo, sin áreas irrelevantes.</x:v>
      </x:c>
      <x:c r="H17" s="14" t="str">
        <x:v>Sin evaluar</x:v>
      </x:c>
      <x:c r="I17" s="14" t="str"/>
      <x:c r="J17" s="14" t="str"/>
      <x:c r="K17" s="14" t="str"/>
    </x:row>
    <x:row r="18" ht="50" customHeight="1">
      <x:c r="A18" s="10" t="str">
        <x:v>P17</x:v>
      </x:c>
      <x:c r="B18" s="10" t="n">
        <x:v>4</x:v>
      </x:c>
      <x:c r="C18" s="10" t="n">
        <x:v>2</x:v>
      </x:c>
      <x:c r="D18" s="10" t="str">
        <x:v>Intereses y memoria</x:v>
      </x:c>
      <x:c r="E18" s="10" t="str">
        <x:v>¿Y cuáles de esas son escolarizadas?</x:v>
      </x:c>
      <x:c r="F18" s="10" t="str">
        <x:v>filtrar_modalidad</x:v>
      </x:c>
      <x:c r="G18" s="10" t="str">
        <x:v>Aplicar ESCOLARIZADA solo a los programas encontrados en el turno 1.</x:v>
      </x:c>
      <x:c r="H18" s="10" t="str">
        <x:v>Sin evaluar</x:v>
      </x:c>
      <x:c r="I18" s="10" t="str"/>
      <x:c r="J18" s="10" t="str"/>
      <x:c r="K18" s="10" t="str"/>
    </x:row>
    <x:row r="19" ht="50" customHeight="1">
      <x:c r="A19" s="10" t="str">
        <x:v>P18</x:v>
      </x:c>
      <x:c r="B19" s="10" t="n">
        <x:v>4</x:v>
      </x:c>
      <x:c r="C19" s="10" t="n">
        <x:v>3</x:v>
      </x:c>
      <x:c r="D19" s="10" t="str">
        <x:v>Intereses y memoria</x:v>
      </x:c>
      <x:c r="E19" s="10" t="str">
        <x:v>Ahora muéstrame las opciones mixtas.</x:v>
      </x:c>
      <x:c r="F19" s="10" t="str">
        <x:v>filtrar_modalidad</x:v>
      </x:c>
      <x:c r="G19" s="10" t="str">
        <x:v>Mantener las mismas carreras y cambiar el filtro a MIXTA.</x:v>
      </x:c>
      <x:c r="H19" s="10" t="str">
        <x:v>Sin evaluar</x:v>
      </x:c>
      <x:c r="I19" s="10" t="str"/>
      <x:c r="J19" s="10" t="str"/>
      <x:c r="K19" s="10" t="str"/>
    </x:row>
    <x:row r="20" ht="50" customHeight="1">
      <x:c r="A20" s="10" t="str">
        <x:v>P19</x:v>
      </x:c>
      <x:c r="B20" s="10" t="n">
        <x:v>4</x:v>
      </x:c>
      <x:c r="C20" s="10" t="n">
        <x:v>4</x:v>
      </x:c>
      <x:c r="D20" s="10" t="str">
        <x:v>Intereses y memoria</x:v>
      </x:c>
      <x:c r="E20" s="10" t="str">
        <x:v>Cambiando de tema, quiero construir robots industriales.</x:v>
      </x:c>
      <x:c r="F20" s="10" t="str">
        <x:v>explorar_area</x:v>
      </x:c>
      <x:c r="G20" s="10" t="str">
        <x:v>Abandonar videojuegos y buscar programas de robótica/mecatrónica pertinentes.</x:v>
      </x:c>
      <x:c r="H20" s="10" t="str">
        <x:v>Sin evaluar</x:v>
      </x:c>
      <x:c r="I20" s="10" t="str"/>
      <x:c r="J20" s="10" t="str"/>
      <x:c r="K20" s="10" t="str"/>
    </x:row>
    <x:row r="21" ht="50" customHeight="1">
      <x:c r="A21" s="10" t="str">
        <x:v>P20</x:v>
      </x:c>
      <x:c r="B21" s="10" t="n">
        <x:v>4</x:v>
      </x:c>
      <x:c r="C21" s="10" t="n">
        <x:v>5</x:v>
      </x:c>
      <x:c r="D21" s="10" t="str">
        <x:v>Intereses y memoria</x:v>
      </x:c>
      <x:c r="E21" s="10" t="str">
        <x:v>¿Y cuáles de esas opciones son mixtas?</x:v>
      </x:c>
      <x:c r="F21" s="10" t="str">
        <x:v>filtrar_modalidad</x:v>
      </x:c>
      <x:c r="G21" s="10" t="str">
        <x:v>Mantener los programas relacionados con robótica, no los de videojuegos.</x:v>
      </x:c>
      <x:c r="H21" s="10" t="str">
        <x:v>Sin evaluar</x:v>
      </x:c>
      <x:c r="I21" s="10" t="str"/>
      <x:c r="J21" s="10" t="str"/>
      <x:c r="K21" s="10" t="str"/>
    </x:row>
    <x:row r="22" ht="50" customHeight="1">
      <x:c r="A22" s="14" t="str">
        <x:v>P21</x:v>
      </x:c>
      <x:c r="B22" s="14" t="n">
        <x:v>5</x:v>
      </x:c>
      <x:c r="C22" s="14" t="n">
        <x:v>1</x:v>
      </x:c>
      <x:c r="D22" s="14" t="str">
        <x:v>Áreas difíciles y límites</x:v>
      </x:c>
      <x:c r="E22" s="14" t="str">
        <x:v>Me gustaría investigar la formación de nubes de tormenta.</x:v>
      </x:c>
      <x:c r="F22" s="14" t="str">
        <x:v>explorar_area</x:v>
      </x:c>
      <x:c r="G22" s="14" t="str">
        <x:v>Reconocer o pedir aclaración del tema meteorológico; no recomendar Gastronomía.</x:v>
      </x:c>
      <x:c r="H22" s="14" t="str">
        <x:v>Sin evaluar</x:v>
      </x:c>
      <x:c r="I22" s="14" t="str"/>
      <x:c r="J22" s="14" t="str"/>
      <x:c r="K22" s="14" t="str"/>
    </x:row>
    <x:row r="23" ht="50" customHeight="1">
      <x:c r="A23" s="10" t="str">
        <x:v>P22</x:v>
      </x:c>
      <x:c r="B23" s="10" t="n">
        <x:v>5</x:v>
      </x:c>
      <x:c r="C23" s="10" t="n">
        <x:v>2</x:v>
      </x:c>
      <x:c r="D23" s="10" t="str">
        <x:v>Áreas difíciles y límites</x:v>
      </x:c>
      <x:c r="E23" s="10" t="str">
        <x:v>Quiero dedicarme al estudio de satélites y sondas espaciales.</x:v>
      </x:c>
      <x:c r="F23" s="10" t="str">
        <x:v>explorar_area</x:v>
      </x:c>
      <x:c r="G23" s="10" t="str">
        <x:v>Reconocer tema espacial o aclarar; no afirmar cobertura directa sin títulos que la respalden.</x:v>
      </x:c>
      <x:c r="H23" s="10" t="str">
        <x:v>Sin evaluar</x:v>
      </x:c>
      <x:c r="I23" s="10" t="str"/>
      <x:c r="J23" s="10" t="str"/>
      <x:c r="K23" s="10" t="str"/>
    </x:row>
    <x:row r="24" ht="50" customHeight="1">
      <x:c r="A24" s="10" t="str">
        <x:v>P23</x:v>
      </x:c>
      <x:c r="B24" s="10" t="n">
        <x:v>5</x:v>
      </x:c>
      <x:c r="C24" s="10" t="n">
        <x:v>3</x:v>
      </x:c>
      <x:c r="D24" s="10" t="str">
        <x:v>Áreas difíciles y límites</x:v>
      </x:c>
      <x:c r="E24" s="10" t="str">
        <x:v>Quiero estudiar dinosaurios y su evolución.</x:v>
      </x:c>
      <x:c r="F24" s="10" t="str">
        <x:v>explorar_area</x:v>
      </x:c>
      <x:c r="G24" s="10" t="str">
        <x:v>Identificar Paleontología o pedir precisión; no confundir automáticamente con Arqueología.</x:v>
      </x:c>
      <x:c r="H24" s="10" t="str">
        <x:v>Sin evaluar</x:v>
      </x:c>
      <x:c r="I24" s="10" t="str"/>
      <x:c r="J24" s="10" t="str"/>
      <x:c r="K24" s="10" t="str"/>
    </x:row>
    <x:row r="25" ht="50" customHeight="1">
      <x:c r="A25" s="10" t="str">
        <x:v>P24</x:v>
      </x:c>
      <x:c r="B25" s="10" t="n">
        <x:v>5</x:v>
      </x:c>
      <x:c r="C25" s="10" t="n">
        <x:v>4</x:v>
      </x:c>
      <x:c r="D25" s="10" t="str">
        <x:v>Áreas difíciles y límites</x:v>
      </x:c>
      <x:c r="E25" s="10" t="str">
        <x:v>Me interesa el diseño de aviones comerciales.</x:v>
      </x:c>
      <x:c r="F25" s="10" t="str">
        <x:v>explorar_area</x:v>
      </x:c>
      <x:c r="G25" s="10" t="str">
        <x:v>Reconocer interés aeronáutico o pedir aclaración; no inventar oferta aeroespacial.</x:v>
      </x:c>
      <x:c r="H25" s="10" t="str">
        <x:v>Sin evaluar</x:v>
      </x:c>
      <x:c r="I25" s="10" t="str"/>
      <x:c r="J25" s="10" t="str"/>
      <x:c r="K25" s="10" t="str"/>
    </x:row>
    <x:row r="26" ht="50" customHeight="1">
      <x:c r="A26" s="10" t="str">
        <x:v>P25</x:v>
      </x:c>
      <x:c r="B26" s="10" t="n">
        <x:v>5</x:v>
      </x:c>
      <x:c r="C26" s="10" t="n">
        <x:v>5</x:v>
      </x:c>
      <x:c r="D26" s="10" t="str">
        <x:v>Áreas difíciles y límites</x:v>
      </x:c>
      <x:c r="E26" s="10" t="str">
        <x:v>¿Cuánto cuesta la colegiatura de las universidades?</x:v>
      </x:c>
      <x:c r="F26" s="10" t="str">
        <x:v>fuera_de_alcance</x:v>
      </x:c>
      <x:c r="G26" s="10" t="str">
        <x:v>No inventar precios. Explicar que el catálogo no contiene costos verificados.</x:v>
      </x:c>
      <x:c r="H26" s="10" t="str">
        <x:v>Sin evaluar</x:v>
      </x:c>
      <x:c r="I26" s="10" t="str"/>
      <x:c r="J26" s="10" t="str"/>
      <x:c r="K26" s="10" t="str"/>
    </x:row>
    <x:row r="27" ht="50" customHeight="1">
      <x:c r="A27" s="14" t="str">
        <x:v>P26</x:v>
      </x:c>
      <x:c r="B27" s="14" t="n">
        <x:v>6</x:v>
      </x:c>
      <x:c r="C27" s="14" t="n">
        <x:v>1</x:v>
      </x:c>
      <x:c r="D27" s="14" t="str">
        <x:v>Negaciones y despedida</x:v>
      </x:c>
      <x:c r="E27" s="14" t="str">
        <x:v>Busco carreras que pueda cursar totalmente desde casa.</x:v>
      </x:c>
      <x:c r="F27" s="14" t="str">
        <x:v>filtrar_modalidad</x:v>
      </x:c>
      <x:c r="G27" s="14" t="str">
        <x:v>Reconocer intención de estudio a distancia o pedir aclaración, sin confundirla con presencial.</x:v>
      </x:c>
      <x:c r="H27" s="14" t="str">
        <x:v>Sin evaluar</x:v>
      </x:c>
      <x:c r="I27" s="14" t="str"/>
      <x:c r="J27" s="14" t="str"/>
      <x:c r="K27" s="14" t="str"/>
    </x:row>
    <x:row r="28" ht="50" customHeight="1">
      <x:c r="A28" s="10" t="str">
        <x:v>P27</x:v>
      </x:c>
      <x:c r="B28" s="10" t="n">
        <x:v>6</x:v>
      </x:c>
      <x:c r="C28" s="10" t="n">
        <x:v>2</x:v>
      </x:c>
      <x:c r="D28" s="10" t="str">
        <x:v>Negaciones y despedida</x:v>
      </x:c>
      <x:c r="E28" s="10" t="str">
        <x:v>No quiero modalidad mixta; busco únicamente escolarizada.</x:v>
      </x:c>
      <x:c r="F28" s="10" t="str">
        <x:v>filtrar_modalidad</x:v>
      </x:c>
      <x:c r="G28" s="10" t="str">
        <x:v>Respetar negación y devolver ESCOLARIZADA, nunca ofertas de MIXTA como respuesta.</x:v>
      </x:c>
      <x:c r="H28" s="10" t="str">
        <x:v>Sin evaluar</x:v>
      </x:c>
      <x:c r="I28" s="10" t="str"/>
      <x:c r="J28" s="10" t="str"/>
      <x:c r="K28" s="10" t="str"/>
    </x:row>
    <x:row r="29" ht="50" customHeight="1">
      <x:c r="A29" s="10" t="str">
        <x:v>P28</x:v>
      </x:c>
      <x:c r="B29" s="10" t="n">
        <x:v>6</x:v>
      </x:c>
      <x:c r="C29" s="10" t="n">
        <x:v>3</x:v>
      </x:c>
      <x:c r="D29" s="10" t="str">
        <x:v>Negaciones y despedida</x:v>
      </x:c>
      <x:c r="E29" s="10" t="str">
        <x:v>¿La Universidad Panamericana ofrece Ingeniería en Animación y Videojuegos?</x:v>
      </x:c>
      <x:c r="F29" s="10" t="str">
        <x:v>buscar_programa+institucion</x:v>
      </x:c>
      <x:c r="G29" s="10" t="str">
        <x:v>Verificar programa E institución juntos en PostgreSQL; no responder solo por una entidad.</x:v>
      </x:c>
      <x:c r="H29" s="10" t="str">
        <x:v>Sin evaluar</x:v>
      </x:c>
      <x:c r="I29" s="10" t="str"/>
      <x:c r="J29" s="10" t="str"/>
      <x:c r="K29" s="10" t="str"/>
    </x:row>
    <x:row r="30" ht="50" customHeight="1">
      <x:c r="A30" s="10" t="str">
        <x:v>P29</x:v>
      </x:c>
      <x:c r="B30" s="10" t="n">
        <x:v>6</x:v>
      </x:c>
      <x:c r="C30" s="10" t="n">
        <x:v>4</x:v>
      </x:c>
      <x:c r="D30" s="10" t="str">
        <x:v>Negaciones y despedida</x:v>
      </x:c>
      <x:c r="E30" s="10" t="str">
        <x:v>¿Y esa licenciatura se puede cursar en modalidad mixta?</x:v>
      </x:c>
      <x:c r="F30" s="10" t="str">
        <x:v>seguimiento</x:v>
      </x:c>
      <x:c r="G30" s="10" t="str">
        <x:v>Conservar programa e institución del turno anterior y consultar MIXTA; o solicitar aclaración si el contexto es insuficiente.</x:v>
      </x:c>
      <x:c r="H30" s="10" t="str">
        <x:v>Sin evaluar</x:v>
      </x:c>
      <x:c r="I30" s="10" t="str"/>
      <x:c r="J30" s="10" t="str"/>
      <x:c r="K30" s="10" t="str"/>
    </x:row>
    <x:row r="31" ht="50" customHeight="1">
      <x:c r="A31" s="10" t="str">
        <x:v>P30</x:v>
      </x:c>
      <x:c r="B31" s="10" t="n">
        <x:v>6</x:v>
      </x:c>
      <x:c r="C31" s="10" t="n">
        <x:v>5</x:v>
      </x:c>
      <x:c r="D31" s="10" t="str">
        <x:v>Negaciones y despedida</x:v>
      </x:c>
      <x:c r="E31" s="10" t="str">
        <x:v>Adiós, hablamos después.</x:v>
      </x:c>
      <x:c r="F31" s="10" t="str">
        <x:v>despedida</x:v>
      </x:c>
      <x:c r="G31" s="10" t="str">
        <x:v>Despedirse sin tratarlo como consulta académica y sin recomendaciones.</x:v>
      </x:c>
      <x:c r="H31" s="10" t="str">
        <x:v>Sin evaluar</x:v>
      </x:c>
      <x:c r="I31" s="10" t="str"/>
      <x:c r="J31" s="10" t="str"/>
      <x:c r="K31" s="10" t="str"/>
    </x:row>
  </x:sheetData>
  <x:conditionalFormatting sqref="H2:H31">
    <x:cfRule type="expression" dxfId="0" priority="1">
      <x:formula>H2="Correcto"</x:formula>
    </x:cfRule>
    <x:cfRule type="expression" dxfId="1" priority="2">
      <x:formula>H2="Incorrecto"</x:formula>
    </x:cfRule>
    <x:cfRule type="expression" dxfId="2" priority="3">
      <x:formula>H2="Parcial"</x:formula>
    </x:cfRule>
  </x:conditionalFormatting>
  <x:dataValidations count="2">
    <x:dataValidation type="list" sqref="H2:H31">
      <x:formula1>"Sin evaluar,Correcto,Parcial,Incorrecto"</x:formula1>
    </x:dataValidation>
    <x:dataValidation type="list" sqref="K2:K31">
      <x:formula1>"Alta,Media,Baja"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6" customHeight="1">
      <x:c r="A1" s="16" t="str">
        <x:v>ETAPA 4 · Evaluación integral del asistente</x:v>
      </x:c>
      <x:c r="B1" s="16"/>
      <x:c r="C1" s="16"/>
      <x:c r="D1" s="16"/>
      <x:c r="E1" s="16"/>
      <x:c r="F1" s="16"/>
    </x:row>
    <x:row r="3">
      <x:c r="A3" s="19" t="str">
        <x:v>Indicador</x:v>
      </x:c>
      <x:c r="B3" s="19" t="str">
        <x:v>Resultado</x:v>
      </x:c>
    </x:row>
    <x:row r="4" ht="27" customHeight="1">
      <x:c r="A4" t="str">
        <x:v>Preguntas previstas</x:v>
      </x:c>
      <x:c r="B4" t="n">
        <x:f>COUNTA(Evaluacion!A2:A31)</x:f>
        <x:v>30</x:v>
      </x:c>
    </x:row>
    <x:row r="5" ht="27" customHeight="1">
      <x:c r="A5" t="str">
        <x:v>Evaluadas</x:v>
      </x:c>
      <x:c r="B5" t="n">
        <x:f>COUNTIF(Evaluacion!H2:H31,"Correcto")+COUNTIF(Evaluacion!H2:H31,"Parcial")+COUNTIF(Evaluacion!H2:H31,"Incorrecto")</x:f>
        <x:v>0</x:v>
      </x:c>
    </x:row>
    <x:row r="6" ht="27" customHeight="1">
      <x:c r="A6" t="str">
        <x:v>Correctas</x:v>
      </x:c>
      <x:c r="B6" t="n">
        <x:f>COUNTIF(Evaluacion!H2:H31,"Correcto")</x:f>
        <x:v>0</x:v>
      </x:c>
    </x:row>
    <x:row r="7" ht="27" customHeight="1">
      <x:c r="A7" t="str">
        <x:v>Parciales</x:v>
      </x:c>
      <x:c r="B7" t="n">
        <x:f>COUNTIF(Evaluacion!H2:H31,"Parcial")</x:f>
        <x:v>0</x:v>
      </x:c>
    </x:row>
    <x:row r="8" ht="27" customHeight="1">
      <x:c r="A8" t="str">
        <x:v>Incorrectas</x:v>
      </x:c>
      <x:c r="B8" t="n">
        <x:f>COUNTIF(Evaluacion!H2:H31,"Incorrecto")</x:f>
        <x:v>0</x:v>
      </x:c>
    </x:row>
    <x:row r="9" ht="27" customHeight="1">
      <x:c r="A9" t="str">
        <x:v>Pendientes</x:v>
      </x:c>
      <x:c r="B9" t="n">
        <x:f>COUNTIF(Evaluacion!H2:H31,"Sin evaluar")</x:f>
        <x:v>30</x:v>
      </x:c>
    </x:row>
    <x:row r="10" ht="27" customHeight="1">
      <x:c r="A10" t="str">
        <x:v>Tasa de cumplimiento*</x:v>
      </x:c>
      <x:c r="B10" s="22" t="n">
        <x:f>IFERROR((B6+0.5*B7)/B5,0)</x:f>
        <x:v>0</x:v>
      </x:c>
    </x:row>
    <x:row r="11" ht="27" customHeight="1">
      <x:c r="A11" t="str">
        <x:v>Avance de evaluación</x:v>
      </x:c>
      <x:c r="B11" s="22" t="n">
        <x:f>IFERROR(B5/B4,0)</x:f>
        <x:v>0</x:v>
      </x:c>
    </x:row>
    <x:row r="13">
      <x:c r="A13" s="19" t="str">
        <x:v>Sesión</x:v>
      </x:c>
      <x:c r="B13" s="19" t="str">
        <x:v>Tema</x:v>
      </x:c>
      <x:c r="C13" s="19" t="str">
        <x:v>Total</x:v>
      </x:c>
      <x:c r="D13" s="19" t="str">
        <x:v>Correctas</x:v>
      </x:c>
      <x:c r="E13" s="19" t="str">
        <x:v>Parciales</x:v>
      </x:c>
      <x:c r="F13" s="19" t="str">
        <x:v>Incorrectas</x:v>
      </x:c>
    </x:row>
    <x:row r="14" ht="27" customHeight="1">
      <x:c r="A14" t="n">
        <x:v>1</x:v>
      </x:c>
      <x:c r="B14" t="str">
        <x:v>Bienvenida y orientación</x:v>
      </x:c>
      <x:c r="C14" t="n">
        <x:f>COUNTIF(Evaluacion!B$2:B$31,A14)</x:f>
        <x:v>5</x:v>
      </x:c>
      <x:c r="D14" t="n">
        <x:f>COUNTIFS(Evaluacion!B$2:B$31,A14,Evaluacion!H$2:H$31,"Correcto")</x:f>
        <x:v>0</x:v>
      </x:c>
      <x:c r="E14" t="n">
        <x:f>COUNTIFS(Evaluacion!B$2:B$31,A14,Evaluacion!H$2:H$31,"Parcial")</x:f>
        <x:v>0</x:v>
      </x:c>
      <x:c r="F14" t="n">
        <x:f>COUNTIFS(Evaluacion!B$2:B$31,A14,Evaluacion!H$2:H$31,"Incorrecto")</x:f>
        <x:v>0</x:v>
      </x:c>
    </x:row>
    <x:row r="15" ht="27" customHeight="1">
      <x:c r="A15" t="n">
        <x:v>2</x:v>
      </x:c>
      <x:c r="B15" t="str">
        <x:v>Instituciones y seguimiento</x:v>
      </x:c>
      <x:c r="C15" t="n">
        <x:f>COUNTIF(Evaluacion!B$2:B$31,A15)</x:f>
        <x:v>5</x:v>
      </x:c>
      <x:c r="D15" t="n">
        <x:f>COUNTIFS(Evaluacion!B$2:B$31,A15,Evaluacion!H$2:H$31,"Correcto")</x:f>
        <x:v>0</x:v>
      </x:c>
      <x:c r="E15" t="n">
        <x:f>COUNTIFS(Evaluacion!B$2:B$31,A15,Evaluacion!H$2:H$31,"Parcial")</x:f>
        <x:v>0</x:v>
      </x:c>
      <x:c r="F15" t="n">
        <x:f>COUNTIFS(Evaluacion!B$2:B$31,A15,Evaluacion!H$2:H$31,"Incorrecto")</x:f>
        <x:v>0</x:v>
      </x:c>
    </x:row>
    <x:row r="16" ht="27" customHeight="1">
      <x:c r="A16" t="n">
        <x:v>3</x:v>
      </x:c>
      <x:c r="B16" t="str">
        <x:v>Programas y ausencia</x:v>
      </x:c>
      <x:c r="C16" t="n">
        <x:f>COUNTIF(Evaluacion!B$2:B$31,A16)</x:f>
        <x:v>5</x:v>
      </x:c>
      <x:c r="D16" t="n">
        <x:f>COUNTIFS(Evaluacion!B$2:B$31,A16,Evaluacion!H$2:H$31,"Correcto")</x:f>
        <x:v>0</x:v>
      </x:c>
      <x:c r="E16" t="n">
        <x:f>COUNTIFS(Evaluacion!B$2:B$31,A16,Evaluacion!H$2:H$31,"Parcial")</x:f>
        <x:v>0</x:v>
      </x:c>
      <x:c r="F16" t="n">
        <x:f>COUNTIFS(Evaluacion!B$2:B$31,A16,Evaluacion!H$2:H$31,"Incorrecto")</x:f>
        <x:v>0</x:v>
      </x:c>
    </x:row>
    <x:row r="17" ht="27" customHeight="1">
      <x:c r="A17" t="n">
        <x:v>4</x:v>
      </x:c>
      <x:c r="B17" t="str">
        <x:v>Intereses y memoria</x:v>
      </x:c>
      <x:c r="C17" t="n">
        <x:f>COUNTIF(Evaluacion!B$2:B$31,A17)</x:f>
        <x:v>5</x:v>
      </x:c>
      <x:c r="D17" t="n">
        <x:f>COUNTIFS(Evaluacion!B$2:B$31,A17,Evaluacion!H$2:H$31,"Correcto")</x:f>
        <x:v>0</x:v>
      </x:c>
      <x:c r="E17" t="n">
        <x:f>COUNTIFS(Evaluacion!B$2:B$31,A17,Evaluacion!H$2:H$31,"Parcial")</x:f>
        <x:v>0</x:v>
      </x:c>
      <x:c r="F17" t="n">
        <x:f>COUNTIFS(Evaluacion!B$2:B$31,A17,Evaluacion!H$2:H$31,"Incorrecto")</x:f>
        <x:v>0</x:v>
      </x:c>
    </x:row>
    <x:row r="18" ht="27" customHeight="1">
      <x:c r="A18" t="n">
        <x:v>5</x:v>
      </x:c>
      <x:c r="B18" t="str">
        <x:v>Áreas difíciles y límites</x:v>
      </x:c>
      <x:c r="C18" t="n">
        <x:f>COUNTIF(Evaluacion!B$2:B$31,A18)</x:f>
        <x:v>5</x:v>
      </x:c>
      <x:c r="D18" t="n">
        <x:f>COUNTIFS(Evaluacion!B$2:B$31,A18,Evaluacion!H$2:H$31,"Correcto")</x:f>
        <x:v>0</x:v>
      </x:c>
      <x:c r="E18" t="n">
        <x:f>COUNTIFS(Evaluacion!B$2:B$31,A18,Evaluacion!H$2:H$31,"Parcial")</x:f>
        <x:v>0</x:v>
      </x:c>
      <x:c r="F18" t="n">
        <x:f>COUNTIFS(Evaluacion!B$2:B$31,A18,Evaluacion!H$2:H$31,"Incorrecto")</x:f>
        <x:v>0</x:v>
      </x:c>
    </x:row>
    <x:row r="19" ht="27" customHeight="1">
      <x:c r="A19" t="n">
        <x:v>6</x:v>
      </x:c>
      <x:c r="B19" t="str">
        <x:v>Negaciones y despedida</x:v>
      </x:c>
      <x:c r="C19" t="n">
        <x:f>COUNTIF(Evaluacion!B$2:B$31,A19)</x:f>
        <x:v>5</x:v>
      </x:c>
      <x:c r="D19" t="n">
        <x:f>COUNTIFS(Evaluacion!B$2:B$31,A19,Evaluacion!H$2:H$31,"Correcto")</x:f>
        <x:v>0</x:v>
      </x:c>
      <x:c r="E19" t="n">
        <x:f>COUNTIFS(Evaluacion!B$2:B$31,A19,Evaluacion!H$2:H$31,"Parcial")</x:f>
        <x:v>0</x:v>
      </x:c>
      <x:c r="F19" t="n">
        <x:f>COUNTIFS(Evaluacion!B$2:B$31,A19,Evaluacion!H$2:H$31,"Incorrecto")</x:f>
        <x:v>0</x:v>
      </x:c>
    </x:row>
    <x:row r="22">
      <x:c r="A22" s="24" t="str">
        <x:v>* Tasa provisional: Correcto = 1 punto, Parcial = 0.5, Incorrecto = 0.</x:v>
      </x:c>
      <x:c r="B22" s="24"/>
      <x:c r="C22" s="24"/>
      <x:c r="D22" s="24"/>
      <x:c r="E22" s="24"/>
      <x:c r="F22" s="24"/>
    </x:row>
    <x:row r="23">
      <x:c r="A23" s="24" t="str">
        <x:v>Se evalúa el asistente completo, no solo el clasificador. No reutilizar preguntas para reentrenar.</x:v>
      </x:c>
      <x:c r="B23" s="24"/>
      <x:c r="C23" s="24"/>
      <x:c r="D23" s="24"/>
      <x:c r="E23" s="24"/>
      <x:c r="F23" s="24"/>
    </x:row>
  </x:sheetData>
  <x:mergeCells>
    <x:mergeCell ref="A1:F1"/>
    <x:mergeCell ref="A22:F22"/>
    <x:mergeCell ref="A23:F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5" hidden="0" customWidth="1"/>
  </x:cols>
  <x:sheetData>
    <x:row r="1" ht="38" customHeight="1">
      <x:c r="A1" s="16" t="str">
        <x:v>INSTRUCCIONES DE LA ETAPA 4</x:v>
      </x:c>
    </x:row>
    <x:row r="2" ht="35" customHeight="1">
      <x:c r="A2" s="27" t="str">
        <x:v>Objetivo: evaluar el asistente completo con 30 preguntas organizadas en 6 sesiones.</x:v>
      </x:c>
    </x:row>
    <x:row r="3" ht="35" customHeight="1">
      <x:c r="A3" s="27" t="str">
        <x:v>1. Haz una copia de seguridad del proyecto. No modifiques Python ni el entrenamiento durante esta primera medición.</x:v>
      </x:c>
    </x:row>
    <x:row r="4" ht="35" customHeight="1">
      <x:c r="A4" s="27" t="str">
        <x:v>2. En PowerShell abre ProyectoIA y ejecuta: .\.venv\Scripts\python.exe app.py</x:v>
      </x:c>
    </x:row>
    <x:row r="5" ht="35" customHeight="1">
      <x:c r="A5" s="27" t="str">
        <x:v>3. Ejecuta las cinco preguntas de la Sesión 1 en el orden indicado.</x:v>
      </x:c>
    </x:row>
    <x:row r="6" ht="35" customHeight="1">
      <x:c r="A6" s="27" t="str">
        <x:v>4. Copia la respuesta real de cada pregunta en la columna I; marca el resultado en H.</x:v>
      </x:c>
    </x:row>
    <x:row r="7" ht="35" customHeight="1">
      <x:c r="A7" s="27" t="str">
        <x:v>5. Finaliza cada sesión escribiendo 'salir'; vuelve a iniciar app.py para la siguiente sesión.</x:v>
      </x:c>
    </x:row>
    <x:row r="8" ht="35" customHeight="1">
      <x:c r="A8" s="27" t="str">
        <x:v>6. Correcto: cumple todo el criterio sin inventar datos; Parcial: útil, con omisiones o fallos menores.</x:v>
      </x:c>
    </x:row>
    <x:row r="9" ht="35" customHeight="1">
      <x:c r="A9" s="27" t="str">
        <x:v>7. Incorrecto: intención, datos, contexto o conducta equivocados; documenta el problema en J.</x:v>
      </x:c>
    </x:row>
    <x:row r="10" ht="35" customHeight="1">
      <x:c r="A10" s="27" t="str">
        <x:v>8. Si hay un error que confunde instituciones, inventa programas o ignora negaciones, marca Gravedad Alta.</x:v>
      </x:c>
    </x:row>
    <x:row r="11" ht="35" customHeight="1">
      <x:c r="A11" s="27" t="str">
        <x:v>9. Si una consulta no está respaldada por SEP 2021, el asistente debe reconocer esa limitación.</x:v>
      </x:c>
    </x:row>
    <x:row r="12" ht="35" customHeight="1">
      <x:c r="A12" s="27" t="str">
        <x:v>10. No confundas la etiqueta predicha por regresión logística con el resultado final: evalúa ambos por separado.</x:v>
      </x:c>
    </x:row>
    <x:row r="13" ht="35" customHeight="1">
      <x:c r="A13" s="27" t="str">
        <x:v>11. No ajustes el modelo con estas preguntas antes de terminar la evaluación; conserva la primera medición.</x:v>
      </x:c>
    </x:row>
    <x:row r="14" ht="35" customHeight="1">
      <x:c r="A14" s="27" t="str">
        <x:v>12. Si haces correcciones después, prepara otro grupo de preguntas nuevas para una segunda evaluación.</x:v>
      </x:c>
    </x:row>
    <x:row r="15" ht="35" customHeight="1">
      <x:c r="A15" s="27" t="str">
        <x:v>* 'Intención esperada' incluye casos conversacionales fuera de las cuatro clases del clasificador; son objetivos del asistente, no etiquetas de entrenamiento.</x:v>
      </x:c>
    </x:row>
  </x:sheetData>
  <x:pageMargins left="0.7" right="0.7" top="0.75" bottom="0.75" header="0.3" footer="0.3"/>
</x:worksheet>
</file>