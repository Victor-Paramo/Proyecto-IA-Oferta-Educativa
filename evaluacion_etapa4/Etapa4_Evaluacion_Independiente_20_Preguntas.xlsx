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e23f8af39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c35900d6cd8a4933"/>
    <x:sheet xmlns:r="http://schemas.openxmlformats.org/officeDocument/2006/relationships" name="Resumen" sheetId="2" r:id="Rf0dc9eeaea1440d4"/>
    <x:sheet xmlns:r="http://schemas.openxmlformats.org/officeDocument/2006/relationships" name="Instrucciones" sheetId="3" r:id="Rf1560d3822dd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0"/>
      <x:color rgb="FF31353B"/>
      <x:name val="Carlito"/>
    </x:font>
    <x:font>
      <x:sz val="11"/>
      <x:color rgb="FF3333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23B45"/>
      </x:patternFill>
    </x:fill>
    <x:fill>
      <x:patternFill patternType="solid">
        <x:fgColor rgb="FF26323A"/>
      </x:patternFill>
    </x:fill>
    <x:fill>
      <x:patternFill patternType="solid">
        <x:fgColor rgb="FFE8EBEE"/>
      </x:patternFill>
    </x:fill>
    <x:fill>
      <x:patternFill patternType="solid">
        <x:fgColor rgb="FFF0F3F5"/>
      </x:patternFill>
    </x:fill>
    <x:fill>
      <x:patternFill patternType="solid">
        <x:fgColor rgb="FFF8F9FA"/>
      </x:patternFill>
    </x:fill>
    <x:fill>
      <x:patternFill patternType="solid">
        <x:fgColor rgb="FFF1F2F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c32b57d464aab" /><Relationship Type="http://schemas.openxmlformats.org/officeDocument/2006/relationships/theme" Target="/xl/theme/theme1.xml" Id="R64a10ccd680e4d76" /><Relationship Type="http://schemas.openxmlformats.org/officeDocument/2006/relationships/sharedStrings" Target="/xl/sharedStrings.xml" Id="R9bb59a3aa9f0471e" /><Relationship Type="http://schemas.openxmlformats.org/officeDocument/2006/relationships/worksheet" Target="/xl/worksheets/sheet1.xml" Id="Rc35900d6cd8a4933" /><Relationship Type="http://schemas.openxmlformats.org/officeDocument/2006/relationships/worksheet" Target="/xl/worksheets/sheet2.xml" Id="Rf0dc9eeaea1440d4" /><Relationship Type="http://schemas.openxmlformats.org/officeDocument/2006/relationships/worksheet" Target="/xl/worksheets/sheet3.xml" Id="Rf1560d3822dd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8" hidden="0" customWidth="1"/>
    <x:col min="4" max="4" width="24" hidden="0" customWidth="1"/>
    <x:col min="5" max="5" width="55" hidden="0" customWidth="1"/>
    <x:col min="6" max="6" width="65" hidden="0" customWidth="1"/>
    <x:col min="7" max="7" width="18" hidden="0" customWidth="1"/>
    <x:col min="8" max="8" width="58" hidden="0" customWidth="1"/>
    <x:col min="9" max="9" width="46" hidden="0" customWidth="1"/>
    <x:col min="10" max="10" width="18" hidden="0" customWidth="1"/>
  </x:cols>
  <x:sheetData>
    <x:row r="1" ht="36" customHeight="1">
      <x:c r="A1" s="12" t="str">
        <x:v>ETAPA 4 · EVALUACIÓN INDEPENDIENTE · 20 CONSULTAS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2" customHeight="1">
      <x:c r="A2" s="18" t="str">
        <x:v>Versión congelada del asistente · No modificar código ni entrenar con estas preguntas hasta terminar y registrar los 20 resultados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31" customHeight="1">
      <x:c r="A4" s="5" t="str">
        <x:v>ID</x:v>
      </x:c>
      <x:c r="B4" s="5" t="str">
        <x:v>Bloque</x:v>
      </x:c>
      <x:c r="C4" s="5" t="str">
        <x:v>Turno</x:v>
      </x:c>
      <x:c r="D4" s="5" t="str">
        <x:v>Categoría</x:v>
      </x:c>
      <x:c r="E4" s="5" t="str">
        <x:v>Pregunta del estudiante</x:v>
      </x:c>
      <x:c r="F4" s="5" t="str">
        <x:v>Criterio de evaluación</x:v>
      </x:c>
      <x:c r="G4" s="5" t="str">
        <x:v>Resultado</x:v>
      </x:c>
      <x:c r="H4" s="5" t="str">
        <x:v>Respuesta observada</x:v>
      </x:c>
      <x:c r="I4" s="5" t="str">
        <x:v>Observaciones / error</x:v>
      </x:c>
      <x:c r="J4" s="5" t="str">
        <x:v>Gravedad</x:v>
      </x:c>
    </x:row>
    <x:row r="5" ht="64" customHeight="1">
      <x:c r="A5" s="24" t="str">
        <x:v>N01</x:v>
      </x:c>
      <x:c r="B5" s="24" t="str">
        <x:v>Sesión 1</x:v>
      </x:c>
      <x:c r="C5" s="24" t="n">
        <x:v>1</x:v>
      </x:c>
      <x:c r="D5" s="24" t="str">
        <x:v>Universidades</x:v>
      </x:c>
      <x:c r="E5" s="24" t="str">
        <x:v>Enséñame los programas registrados en la Universidad del Valle de México.</x:v>
      </x:c>
      <x:c r="F5" s="24" t="str">
        <x:v>Debe reconocer la UVM y consultar sus programas/ofertas en PostgreSQL, sin atribuir vigencia en 2026.</x:v>
      </x:c>
      <x:c r="G5" s="26" t="str">
        <x:v>Sin evaluar</x:v>
      </x:c>
      <x:c r="H5" s="28" t="str"/>
      <x:c r="I5" s="28" t="str"/>
      <x:c r="J5" s="28" t="str"/>
    </x:row>
    <x:row r="6" ht="64" customHeight="1">
      <x:c r="A6" s="24" t="str">
        <x:v>N02</x:v>
      </x:c>
      <x:c r="B6" s="24" t="str">
        <x:v>Sesión 1</x:v>
      </x:c>
      <x:c r="C6" s="24" t="n">
        <x:v>2</x:v>
      </x:c>
      <x:c r="D6" s="24" t="str">
        <x:v>Modalidad y contexto</x:v>
      </x:c>
      <x:c r="E6" s="24" t="str">
        <x:v>¿Cuáles de esas ofertas se pueden cursar a distancia?</x:v>
      </x:c>
      <x:c r="F6" s="24" t="str">
        <x:v>Debe conservar la Universidad del Valle de México y filtrar NO ESCOLARIZADA; si no hay resultados, informarlo sin ampliar a otras universidades.</x:v>
      </x:c>
      <x:c r="G6" s="26" t="str">
        <x:v>Sin evaluar</x:v>
      </x:c>
      <x:c r="H6" s="28" t="str"/>
      <x:c r="I6" s="28" t="str"/>
      <x:c r="J6" s="28" t="str"/>
    </x:row>
    <x:row r="7" ht="64" customHeight="1">
      <x:c r="A7" s="24" t="str">
        <x:v>N03</x:v>
      </x:c>
      <x:c r="B7" s="24" t="str">
        <x:v>Sesión 1</x:v>
      </x:c>
      <x:c r="C7" s="24" t="n">
        <x:v>3</x:v>
      </x:c>
      <x:c r="D7" s="24" t="str">
        <x:v>Modalidad y contexto</x:v>
      </x:c>
      <x:c r="E7" s="24" t="str">
        <x:v>¿Y si prefiero una modalidad mixta?</x:v>
      </x:c>
      <x:c r="F7" s="24" t="str">
        <x:v>Debe conservar la misma universidad y cambiar el filtro a MIXTA, sin acumular el filtro anterior.</x:v>
      </x:c>
      <x:c r="G7" s="26" t="str">
        <x:v>Sin evaluar</x:v>
      </x:c>
      <x:c r="H7" s="28" t="str"/>
      <x:c r="I7" s="28" t="str"/>
      <x:c r="J7" s="28" t="str"/>
    </x:row>
    <x:row r="8" ht="64" customHeight="1">
      <x:c r="A8" s="24" t="str">
        <x:v>N04</x:v>
      </x:c>
      <x:c r="B8" s="24" t="str">
        <x:v>Sesión 1</x:v>
      </x:c>
      <x:c r="C8" s="24" t="n">
        <x:v>4</x:v>
      </x:c>
      <x:c r="D8" s="24" t="str">
        <x:v>Cambio de institución</x:v>
      </x:c>
      <x:c r="E8" s="24" t="str">
        <x:v>Dejemos esa universidad; ¿qué licenciaturas aparecen en el Instituto SAE?</x:v>
      </x:c>
      <x:c r="F8" s="24" t="str">
        <x:v>Debe sustituir la institución anterior por Instituto SAE y consultar únicamente sus ofertas.</x:v>
      </x:c>
      <x:c r="G8" s="26" t="str">
        <x:v>Sin evaluar</x:v>
      </x:c>
      <x:c r="H8" s="28" t="str"/>
      <x:c r="I8" s="28" t="str"/>
      <x:c r="J8" s="28" t="str"/>
    </x:row>
    <x:row r="9" ht="64" customHeight="1">
      <x:c r="A9" s="24" t="str">
        <x:v>N05</x:v>
      </x:c>
      <x:c r="B9" s="24" t="str">
        <x:v>Sesión 1</x:v>
      </x:c>
      <x:c r="C9" s="24" t="n">
        <x:v>5</x:v>
      </x:c>
      <x:c r="D9" s="24" t="str">
        <x:v>Seguimiento de institución</x:v>
      </x:c>
      <x:c r="E9" s="24" t="str">
        <x:v>¿Qué opciones de esa institución son presenciales?</x:v>
      </x:c>
      <x:c r="F9" s="24" t="str">
        <x:v>Debe conservar Instituto SAE y filtrar ESCOLARIZADA; no mostrar todas las ofertas del catálogo.</x:v>
      </x:c>
      <x:c r="G9" s="26" t="str">
        <x:v>Sin evaluar</x:v>
      </x:c>
      <x:c r="H9" s="28" t="str"/>
      <x:c r="I9" s="28" t="str"/>
      <x:c r="J9" s="28" t="str"/>
    </x:row>
    <x:row r="10" ht="64" customHeight="1">
      <x:c r="A10" s="24" t="str">
        <x:v>N06</x:v>
      </x:c>
      <x:c r="B10" s="24" t="str">
        <x:v>Sesión 2</x:v>
      </x:c>
      <x:c r="C10" s="24" t="n">
        <x:v>1</x:v>
      </x:c>
      <x:c r="D10" s="24" t="str">
        <x:v>Búsqueda por programa</x:v>
      </x:c>
      <x:c r="E10" s="24" t="str">
        <x:v>¿En qué instituciones aparece la licenciatura en Derecho?</x:v>
      </x:c>
      <x:c r="F10" s="24" t="str">
        <x:v>Debe reconocer Derecho y consultar sus ofertas registradas; no limitarse a una institución previa.</x:v>
      </x:c>
      <x:c r="G10" s="26" t="str">
        <x:v>Sin evaluar</x:v>
      </x:c>
      <x:c r="H10" s="28" t="str"/>
      <x:c r="I10" s="28" t="str"/>
      <x:c r="J10" s="28" t="str"/>
    </x:row>
    <x:row r="11" ht="64" customHeight="1">
      <x:c r="A11" s="24" t="str">
        <x:v>N07</x:v>
      </x:c>
      <x:c r="B11" s="24" t="str">
        <x:v>Sesión 2</x:v>
      </x:c>
      <x:c r="C11" s="24" t="n">
        <x:v>2</x:v>
      </x:c>
      <x:c r="D11" s="24" t="str">
        <x:v>Seguimiento de programa</x:v>
      </x:c>
      <x:c r="E11" s="24" t="str">
        <x:v>¿Y en cuáles de esas instituciones puedo estudiarla en línea?</x:v>
      </x:c>
      <x:c r="F11" s="24" t="str">
        <x:v>Debe mantener Derecho y filtrar NO ESCOLARIZADA; no devolver otras carreras.</x:v>
      </x:c>
      <x:c r="G11" s="26" t="str">
        <x:v>Sin evaluar</x:v>
      </x:c>
      <x:c r="H11" s="28" t="str"/>
      <x:c r="I11" s="28" t="str"/>
      <x:c r="J11" s="28" t="str"/>
    </x:row>
    <x:row r="12" ht="64" customHeight="1">
      <x:c r="A12" s="24" t="str">
        <x:v>N08</x:v>
      </x:c>
      <x:c r="B12" s="24" t="str">
        <x:v>Sesión 2</x:v>
      </x:c>
      <x:c r="C12" s="24" t="n">
        <x:v>3</x:v>
      </x:c>
      <x:c r="D12" s="24" t="str">
        <x:v>Programa e institución</x:v>
      </x:c>
      <x:c r="E12" s="24" t="str">
        <x:v>¿La Universidad Panamericana tiene la licenciatura en Contaduría?</x:v>
      </x:c>
      <x:c r="F12" s="24" t="str">
        <x:v>Debe comprobar la combinación Universidad Panamericana + Contaduría y responder solo con ofertas respaldadas.</x:v>
      </x:c>
      <x:c r="G12" s="26" t="str">
        <x:v>Sin evaluar</x:v>
      </x:c>
      <x:c r="H12" s="28" t="str"/>
      <x:c r="I12" s="28" t="str"/>
      <x:c r="J12" s="28" t="str"/>
    </x:row>
    <x:row r="13" ht="64" customHeight="1">
      <x:c r="A13" s="24" t="str">
        <x:v>N09</x:v>
      </x:c>
      <x:c r="B13" s="24" t="str">
        <x:v>Sesión 2</x:v>
      </x:c>
      <x:c r="C13" s="24" t="n">
        <x:v>4</x:v>
      </x:c>
      <x:c r="D13" s="24" t="str">
        <x:v>Referencia contextual</x:v>
      </x:c>
      <x:c r="E13" s="24" t="str">
        <x:v>¿Ese programa también se ofrece en modalidad mixta?</x:v>
      </x:c>
      <x:c r="F13" s="24" t="str">
        <x:v>Debe conservar Contaduría y Universidad Panamericana. Si no existe esa combinación en MIXTA, decirlo claramente.</x:v>
      </x:c>
      <x:c r="G13" s="26" t="str">
        <x:v>Sin evaluar</x:v>
      </x:c>
      <x:c r="H13" s="28" t="str"/>
      <x:c r="I13" s="28" t="str"/>
      <x:c r="J13" s="28" t="str"/>
    </x:row>
    <x:row r="14" ht="64" customHeight="1">
      <x:c r="A14" s="24" t="str">
        <x:v>N10</x:v>
      </x:c>
      <x:c r="B14" s="24" t="str">
        <x:v>Sesión 2</x:v>
      </x:c>
      <x:c r="C14" s="24" t="n">
        <x:v>5</x:v>
      </x:c>
      <x:c r="D14" s="24" t="str">
        <x:v>Nuevo programa</x:v>
      </x:c>
      <x:c r="E14" s="24" t="str">
        <x:v>Olvidemos lo anterior: ¿dónde se ofrece Diseño de Videojuegos?</x:v>
      </x:c>
      <x:c r="F14" s="24" t="str">
        <x:v>Debe abandonar los filtros anteriores y consultar el programa de Diseño de Videojuegos.</x:v>
      </x:c>
      <x:c r="G14" s="26" t="str">
        <x:v>Sin evaluar</x:v>
      </x:c>
      <x:c r="H14" s="28" t="str"/>
      <x:c r="I14" s="28" t="str"/>
      <x:c r="J14" s="28" t="str"/>
    </x:row>
    <x:row r="15" ht="64" customHeight="1">
      <x:c r="A15" s="24" t="str">
        <x:v>N11</x:v>
      </x:c>
      <x:c r="B15" s="24" t="str">
        <x:v>Sesión 3</x:v>
      </x:c>
      <x:c r="C15" s="24" t="n">
        <x:v>1</x:v>
      </x:c>
      <x:c r="D15" s="24" t="str">
        <x:v>Intereses y afinidad</x:v>
      </x:c>
      <x:c r="E15" s="24" t="str">
        <x:v>Me gusta dibujar personajes para videojuegos.</x:v>
      </x:c>
      <x:c r="F15" s="24" t="str">
        <x:v>Debe reconocer videojuegos como interés, recuperar programas temáticamente sustentados y señalar que son exploratorios.</x:v>
      </x:c>
      <x:c r="G15" s="26" t="str">
        <x:v>Sin evaluar</x:v>
      </x:c>
      <x:c r="H15" s="28" t="str"/>
      <x:c r="I15" s="28" t="str"/>
      <x:c r="J15" s="28" t="str"/>
    </x:row>
    <x:row r="16" ht="64" customHeight="1">
      <x:c r="A16" s="24" t="str">
        <x:v>N12</x:v>
      </x:c>
      <x:c r="B16" s="24" t="str">
        <x:v>Sesión 3</x:v>
      </x:c>
      <x:c r="C16" s="24" t="n">
        <x:v>2</x:v>
      </x:c>
      <x:c r="D16" s="24" t="str">
        <x:v>Seguimiento semántico</x:v>
      </x:c>
      <x:c r="E16" s="24" t="str">
        <x:v>¿Cuáles de esas alternativas se imparten de forma presencial?</x:v>
      </x:c>
      <x:c r="F16" s="24" t="str">
        <x:v>Debe filtrar ESCOLARIZADA únicamente entre los programas de la pregunta previa.</x:v>
      </x:c>
      <x:c r="G16" s="26" t="str">
        <x:v>Sin evaluar</x:v>
      </x:c>
      <x:c r="H16" s="28" t="str"/>
      <x:c r="I16" s="28" t="str"/>
      <x:c r="J16" s="28" t="str"/>
    </x:row>
    <x:row r="17" ht="64" customHeight="1">
      <x:c r="A17" s="24" t="str">
        <x:v>N13</x:v>
      </x:c>
      <x:c r="B17" s="24" t="str">
        <x:v>Sesión 3</x:v>
      </x:c>
      <x:c r="C17" s="24" t="n">
        <x:v>3</x:v>
      </x:c>
      <x:c r="D17" s="24" t="str">
        <x:v>Interés nuevo sin cobertura segura</x:v>
      </x:c>
      <x:c r="E17" s="24" t="str">
        <x:v>Me gustaría comprender por qué se forman los tornados.</x:v>
      </x:c>
      <x:c r="F17" s="24" t="str">
        <x:v>Debe reconocer o pedir precisión sobre Meteorología; nunca inventar ofertas ni recomendar áreas sin relación.</x:v>
      </x:c>
      <x:c r="G17" s="26" t="str">
        <x:v>Sin evaluar</x:v>
      </x:c>
      <x:c r="H17" s="28" t="str"/>
      <x:c r="I17" s="28" t="str"/>
      <x:c r="J17" s="28" t="str"/>
    </x:row>
    <x:row r="18" ht="64" customHeight="1">
      <x:c r="A18" s="24" t="str">
        <x:v>N14</x:v>
      </x:c>
      <x:c r="B18" s="24" t="str">
        <x:v>Sesión 3</x:v>
      </x:c>
      <x:c r="C18" s="24" t="n">
        <x:v>4</x:v>
      </x:c>
      <x:c r="D18" s="24" t="str">
        <x:v>Cambio de tema difícil</x:v>
      </x:c>
      <x:c r="E18" s="24" t="str">
        <x:v>Cambiando de tema, me gustaría estudiar terremotos y volcanes.</x:v>
      </x:c>
      <x:c r="F18" s="24" t="str">
        <x:v>Debe orientar hacia un área relacionada o pedir aclaración; no arrastrar videojuegos ni inventar carreras geológicas.</x:v>
      </x:c>
      <x:c r="G18" s="26" t="str">
        <x:v>Sin evaluar</x:v>
      </x:c>
      <x:c r="H18" s="28" t="str"/>
      <x:c r="I18" s="28" t="str"/>
      <x:c r="J18" s="28" t="str"/>
    </x:row>
    <x:row r="19" ht="64" customHeight="1">
      <x:c r="A19" s="24" t="str">
        <x:v>N15</x:v>
      </x:c>
      <x:c r="B19" s="24" t="str">
        <x:v>Sesión 3</x:v>
      </x:c>
      <x:c r="C19" s="24" t="n">
        <x:v>5</x:v>
      </x:c>
      <x:c r="D19" s="24" t="str">
        <x:v>Interés abstracto</x:v>
      </x:c>
      <x:c r="E19" s="24" t="str">
        <x:v>Quiero usar datos para descubrir patrones y hacer predicciones.</x:v>
      </x:c>
      <x:c r="F19" s="24" t="str">
        <x:v>Debe proponer opciones razonablemente afines respaldadas o solicitar una aclaración útil; no presentar disciplinas ajenas como pertinentes.</x:v>
      </x:c>
      <x:c r="G19" s="26" t="str">
        <x:v>Sin evaluar</x:v>
      </x:c>
      <x:c r="H19" s="28" t="str"/>
      <x:c r="I19" s="28" t="str"/>
      <x:c r="J19" s="28" t="str"/>
    </x:row>
    <x:row r="20" ht="64" customHeight="1">
      <x:c r="A20" s="24" t="str">
        <x:v>N16</x:v>
      </x:c>
      <x:c r="B20" s="24" t="str">
        <x:v>Sesión 4</x:v>
      </x:c>
      <x:c r="C20" s="24" t="n">
        <x:v>1</x:v>
      </x:c>
      <x:c r="D20" s="24" t="str">
        <x:v>Fuera del alcance</x:v>
      </x:c>
      <x:c r="E20" s="24" t="str">
        <x:v>¿Qué becas puedo solicitar para estudiar Contaduría?</x:v>
      </x:c>
      <x:c r="F20" s="24" t="str">
        <x:v>Debe indicar que el catálogo no contiene información verificada de becas; no inventar convocatorias o montos.</x:v>
      </x:c>
      <x:c r="G20" s="26" t="str">
        <x:v>Sin evaluar</x:v>
      </x:c>
      <x:c r="H20" s="28" t="str"/>
      <x:c r="I20" s="28" t="str"/>
      <x:c r="J20" s="28" t="str"/>
    </x:row>
    <x:row r="21" ht="64" customHeight="1">
      <x:c r="A21" s="24" t="str">
        <x:v>N17</x:v>
      </x:c>
      <x:c r="B21" s="24" t="str">
        <x:v>Sesión 4</x:v>
      </x:c>
      <x:c r="C21" s="24" t="n">
        <x:v>2</x:v>
      </x:c>
      <x:c r="D21" s="24" t="str">
        <x:v>Costos fuera del alcance</x:v>
      </x:c>
      <x:c r="E21" s="24" t="str">
        <x:v>¿Cuánto cobran de inscripción en la Universidad ICEL?</x:v>
      </x:c>
      <x:c r="F21" s="24" t="str">
        <x:v>Debe aclarar que no dispone de costos/inscripciones; no inventar cantidades.</x:v>
      </x:c>
      <x:c r="G21" s="26" t="str">
        <x:v>Sin evaluar</x:v>
      </x:c>
      <x:c r="H21" s="28" t="str"/>
      <x:c r="I21" s="28" t="str"/>
      <x:c r="J21" s="28" t="str"/>
    </x:row>
    <x:row r="22" ht="64" customHeight="1">
      <x:c r="A22" s="24" t="str">
        <x:v>N18</x:v>
      </x:c>
      <x:c r="B22" s="24" t="str">
        <x:v>Sesión 4</x:v>
      </x:c>
      <x:c r="C22" s="24" t="n">
        <x:v>3</x:v>
      </x:c>
      <x:c r="D22" s="24" t="str">
        <x:v>Vigencia de datos</x:v>
      </x:c>
      <x:c r="E22" s="24" t="str">
        <x:v>¿Las carreras que muestras siguen vigentes este año?</x:v>
      </x:c>
      <x:c r="F22" s="24" t="str">
        <x:v>Debe explicar que los datos proceden de abril de 2021 y que no confirman oferta vigente en 2026.</x:v>
      </x:c>
      <x:c r="G22" s="26" t="str">
        <x:v>Sin evaluar</x:v>
      </x:c>
      <x:c r="H22" s="28" t="str"/>
      <x:c r="I22" s="28" t="str"/>
      <x:c r="J22" s="28" t="str"/>
    </x:row>
    <x:row r="23" ht="64" customHeight="1">
      <x:c r="A23" s="24" t="str">
        <x:v>N19</x:v>
      </x:c>
      <x:c r="B23" s="24" t="str">
        <x:v>Sesión 4</x:v>
      </x:c>
      <x:c r="C23" s="24" t="n">
        <x:v>4</x:v>
      </x:c>
      <x:c r="D23" s="24" t="str">
        <x:v>Saludo con consulta</x:v>
      </x:c>
      <x:c r="E23" s="24" t="str">
        <x:v>Buenas tardes, ¿qué universidades ofrecen Psicología en modalidad mixta?</x:v>
      </x:c>
      <x:c r="F23" s="24" t="str">
        <x:v>Debe procesar Psicología + MIXTA pese al saludo inicial; recuperar únicamente ofertas pertinentes.</x:v>
      </x:c>
      <x:c r="G23" s="26" t="str">
        <x:v>Sin evaluar</x:v>
      </x:c>
      <x:c r="H23" s="28" t="str"/>
      <x:c r="I23" s="28" t="str"/>
      <x:c r="J23" s="28" t="str"/>
    </x:row>
    <x:row r="24" ht="64" customHeight="1">
      <x:c r="A24" s="24" t="str">
        <x:v>N20</x:v>
      </x:c>
      <x:c r="B24" s="24" t="str">
        <x:v>Sesión 4</x:v>
      </x:c>
      <x:c r="C24" s="24" t="n">
        <x:v>5</x:v>
      </x:c>
      <x:c r="D24" s="24" t="str">
        <x:v>Despedida</x:v>
      </x:c>
      <x:c r="E24" s="24" t="str">
        <x:v>Gracias por la orientación; nos vemos pronto.</x:v>
      </x:c>
      <x:c r="F24" s="24" t="str">
        <x:v>Debe reconocer la despedida/agradecimiento y responder cortésmente, sin ejecutar una búsqueda irrelevante.</x:v>
      </x:c>
      <x:c r="G24" s="26" t="str">
        <x:v>Sin evaluar</x:v>
      </x:c>
      <x:c r="H24" s="28" t="str"/>
      <x:c r="I24" s="28" t="str"/>
      <x:c r="J24" s="28" t="str"/>
    </x:row>
  </x:sheetData>
  <x:mergeCells>
    <x:mergeCell ref="A1:J1"/>
    <x:mergeCell ref="A2:J2"/>
  </x:mergeCells>
  <x:dataValidations count="2">
    <x:dataValidation type="list" sqref="G5:G24">
      <x:formula1>"Sin evaluar,Correcto,Parcial,Incorrecto"</x:formula1>
    </x:dataValidation>
    <x:dataValidation type="list" sqref="J5:J24">
      <x:formula1>",Baja,Media,Alta"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</x:cols>
  <x:sheetData>
    <x:row r="1" ht="36" customHeight="1">
      <x:c r="A1" s="11" t="str">
        <x:v>BALANCE · PRUEBA INDEPENDIENTE</x:v>
      </x:c>
      <x:c r="B1" s="11"/>
      <x:c r="C1" s="11"/>
      <x:c r="D1" s="11"/>
      <x:c r="E1" s="11"/>
      <x:c r="F1" s="11"/>
    </x:row>
    <x:row r="2" ht="30" customHeight="1">
      <x:c r="A2" s="30" t="str">
        <x:v>Las calificaciones se capturan en la hoja Registro; los porcentajes se calculan automáticamente.</x:v>
      </x:c>
      <x:c r="B2" s="30"/>
      <x:c r="C2" s="30"/>
      <x:c r="D2" s="30"/>
      <x:c r="E2" s="30"/>
      <x:c r="F2" s="30"/>
    </x:row>
    <x:row r="5" ht="31" customHeight="1">
      <x:c r="A5" s="5" t="str">
        <x:v>Indicador</x:v>
      </x:c>
      <x:c r="B5" s="5" t="str">
        <x:v>Resultado</x:v>
      </x:c>
    </x:row>
    <x:row r="6" ht="28" customHeight="1">
      <x:c r="A6" t="str">
        <x:v>Total de preguntas</x:v>
      </x:c>
      <x:c r="B6" t="n">
        <x:f>COUNTA(Registro!A5:A24)</x:f>
        <x:v>20</x:v>
      </x:c>
    </x:row>
    <x:row r="7" ht="28" customHeight="1">
      <x:c r="A7" t="str">
        <x:v>Correctas</x:v>
      </x:c>
      <x:c r="B7" t="n">
        <x:f>COUNTIF(Registro!G5:G24,"Correcto")</x:f>
        <x:v>0</x:v>
      </x:c>
    </x:row>
    <x:row r="8" ht="28" customHeight="1">
      <x:c r="A8" t="str">
        <x:v>Parciales</x:v>
      </x:c>
      <x:c r="B8" t="n">
        <x:f>COUNTIF(Registro!G5:G24,"Parcial")</x:f>
        <x:v>0</x:v>
      </x:c>
    </x:row>
    <x:row r="9" ht="28" customHeight="1">
      <x:c r="A9" t="str">
        <x:v>Incorrectas</x:v>
      </x:c>
      <x:c r="B9" t="n">
        <x:f>COUNTIF(Registro!G5:G24,"Incorrecto")</x:f>
        <x:v>0</x:v>
      </x:c>
    </x:row>
    <x:row r="10" ht="28" customHeight="1">
      <x:c r="A10" t="str">
        <x:v>Sin evaluar</x:v>
      </x:c>
      <x:c r="B10" t="n">
        <x:f>COUNTIF(Registro!G5:G24,"Sin evaluar")</x:f>
        <x:v>20</x:v>
      </x:c>
    </x:row>
    <x:row r="11" ht="28" customHeight="1">
      <x:c r="A11" t="str">
        <x:v>Evaluadas</x:v>
      </x:c>
      <x:c r="B11" t="n">
        <x:f>SUM(B7:B9)</x:f>
        <x:v>0</x:v>
      </x:c>
    </x:row>
    <x:row r="12" ht="28" customHeight="1">
      <x:c r="A12" t="str">
        <x:v>Exactitud estricta (correctas / evaluadas)</x:v>
      </x:c>
      <x:c r="B12" s="32" t="n">
        <x:f>IF(B11=0,0,B7/B11)</x:f>
        <x:v>0</x:v>
      </x:c>
    </x:row>
    <x:row r="13" ht="28" customHeight="1">
      <x:c r="A13" t="str">
        <x:v>Aceptables (correctas + parciales / evaluadas)</x:v>
      </x:c>
      <x:c r="B13" s="32" t="n">
        <x:f>IF(B11=0,0,(B7+B8)/B11)</x:f>
        <x:v>0</x:v>
      </x:c>
    </x:row>
    <x:row r="15" ht="31" customHeight="1">
      <x:c r="A15" s="5" t="str">
        <x:v>Bloque</x:v>
      </x:c>
      <x:c r="B15" s="5" t="str">
        <x:v>Correcto</x:v>
      </x:c>
      <x:c r="C15" s="5" t="str">
        <x:v>Parcial</x:v>
      </x:c>
      <x:c r="D15" s="5" t="str">
        <x:v>Incorrecto</x:v>
      </x:c>
      <x:c r="E15" s="5" t="str">
        <x:v>Sin evaluar</x:v>
      </x:c>
      <x:c r="F15" s="5" t="str">
        <x:v>Evaluadas</x:v>
      </x:c>
    </x:row>
    <x:row r="16" ht="26" customHeight="1">
      <x:c r="A16" t="str">
        <x:v>Sesión 1</x:v>
      </x:c>
      <x:c r="B16" t="n">
        <x:f>COUNTIFS(Registro!$B$5:$B$24,$A16,Registro!$G$5:$G$24,"Correcto")</x:f>
        <x:v>0</x:v>
      </x:c>
      <x:c r="C16" t="n">
        <x:f>COUNTIFS(Registro!$B$5:$B$24,$A16,Registro!$G$5:$G$24,"Parcial")</x:f>
        <x:v>0</x:v>
      </x:c>
      <x:c r="D16" t="n">
        <x:f>COUNTIFS(Registro!$B$5:$B$24,$A16,Registro!$G$5:$G$24,"Incorrecto")</x:f>
        <x:v>0</x:v>
      </x:c>
      <x:c r="E16" t="n">
        <x:f>COUNTIFS(Registro!$B$5:$B$24,$A16,Registro!$G$5:$G$24,"Sin evaluar")</x:f>
        <x:v>5</x:v>
      </x:c>
      <x:c r="F16" t="n">
        <x:f>SUM(B16:D16)</x:f>
        <x:v>0</x:v>
      </x:c>
    </x:row>
    <x:row r="17" ht="26" customHeight="1">
      <x:c r="A17" t="str">
        <x:v>Sesión 2</x:v>
      </x:c>
      <x:c r="B17" t="n">
        <x:f>COUNTIFS(Registro!$B$5:$B$24,$A17,Registro!$G$5:$G$24,"Correcto")</x:f>
        <x:v>0</x:v>
      </x:c>
      <x:c r="C17" t="n">
        <x:f>COUNTIFS(Registro!$B$5:$B$24,$A17,Registro!$G$5:$G$24,"Parcial")</x:f>
        <x:v>0</x:v>
      </x:c>
      <x:c r="D17" t="n">
        <x:f>COUNTIFS(Registro!$B$5:$B$24,$A17,Registro!$G$5:$G$24,"Incorrecto")</x:f>
        <x:v>0</x:v>
      </x:c>
      <x:c r="E17" t="n">
        <x:f>COUNTIFS(Registro!$B$5:$B$24,$A17,Registro!$G$5:$G$24,"Sin evaluar")</x:f>
        <x:v>5</x:v>
      </x:c>
      <x:c r="F17" t="n">
        <x:f>SUM(B17:D17)</x:f>
        <x:v>0</x:v>
      </x:c>
    </x:row>
    <x:row r="18" ht="26" customHeight="1">
      <x:c r="A18" t="str">
        <x:v>Sesión 3</x:v>
      </x:c>
      <x:c r="B18" t="n">
        <x:f>COUNTIFS(Registro!$B$5:$B$24,$A18,Registro!$G$5:$G$24,"Correcto")</x:f>
        <x:v>0</x:v>
      </x:c>
      <x:c r="C18" t="n">
        <x:f>COUNTIFS(Registro!$B$5:$B$24,$A18,Registro!$G$5:$G$24,"Parcial")</x:f>
        <x:v>0</x:v>
      </x:c>
      <x:c r="D18" t="n">
        <x:f>COUNTIFS(Registro!$B$5:$B$24,$A18,Registro!$G$5:$G$24,"Incorrecto")</x:f>
        <x:v>0</x:v>
      </x:c>
      <x:c r="E18" t="n">
        <x:f>COUNTIFS(Registro!$B$5:$B$24,$A18,Registro!$G$5:$G$24,"Sin evaluar")</x:f>
        <x:v>5</x:v>
      </x:c>
      <x:c r="F18" t="n">
        <x:f>SUM(B18:D18)</x:f>
        <x:v>0</x:v>
      </x:c>
    </x:row>
    <x:row r="19" ht="26" customHeight="1">
      <x:c r="A19" t="str">
        <x:v>Sesión 4</x:v>
      </x:c>
      <x:c r="B19" t="n">
        <x:f>COUNTIFS(Registro!$B$5:$B$24,$A19,Registro!$G$5:$G$24,"Correcto")</x:f>
        <x:v>0</x:v>
      </x:c>
      <x:c r="C19" t="n">
        <x:f>COUNTIFS(Registro!$B$5:$B$24,$A19,Registro!$G$5:$G$24,"Parcial")</x:f>
        <x:v>0</x:v>
      </x:c>
      <x:c r="D19" t="n">
        <x:f>COUNTIFS(Registro!$B$5:$B$24,$A19,Registro!$G$5:$G$24,"Incorrecto")</x:f>
        <x:v>0</x:v>
      </x:c>
      <x:c r="E19" t="n">
        <x:f>COUNTIFS(Registro!$B$5:$B$24,$A19,Registro!$G$5:$G$24,"Sin evaluar")</x:f>
        <x:v>5</x:v>
      </x:c>
      <x:c r="F19" t="n">
        <x:f>SUM(B19:D19)</x:f>
        <x:v>0</x:v>
      </x:c>
    </x:row>
    <x:row r="22" ht="30" customHeight="1">
      <x:c r="A22" s="34" t="str">
        <x:v>IMPORTANTE: NO es una precisión general de todos los estudiantes; es la proporción observada en estas 20 consultas.</x:v>
      </x:c>
      <x:c r="B22" s="34"/>
      <x:c r="C22" s="34"/>
      <x:c r="D22" s="34"/>
      <x:c r="E22" s="34"/>
      <x:c r="F22" s="34"/>
    </x:row>
    <x:row r="23" ht="30" customHeight="1"/>
  </x:sheetData>
  <x:mergeCells>
    <x:mergeCell ref="A1:F1"/>
    <x:mergeCell ref="A2:F2"/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11" t="str">
        <x:v>GUÍA · EVALUACIÓN SIN AJUSTAR EL MODELO</x:v>
      </x:c>
      <x:c r="B1" s="11"/>
      <x:c r="C1" s="11"/>
      <x:c r="D1" s="11"/>
      <x:c r="E1" s="11"/>
      <x:c r="F1" s="11"/>
      <x:c r="G1" s="11"/>
      <x:c r="H1" s="11"/>
    </x:row>
    <x:row r="3" ht="36" customHeight="1">
      <x:c r="A3" s="24" t="str">
        <x:v>Objetivo: medir el comportamiento ante 20 preguntas no utilizadas previamente para entrenar, seleccionar ni corregir el sistema.</x:v>
      </x:c>
      <x:c r="B3" s="24"/>
      <x:c r="C3" s="24"/>
      <x:c r="D3" s="24"/>
      <x:c r="E3" s="24"/>
      <x:c r="F3" s="24"/>
      <x:c r="G3" s="24"/>
      <x:c r="H3" s="24"/>
    </x:row>
    <x:row r="4" ht="36" customHeight="1">
      <x:c r="A4" s="38" t="str">
        <x:v>1. No agregar estas 20 preguntas al entrenamiento antes de concluir la evaluación.</x:v>
      </x:c>
      <x:c r="B4" s="38"/>
      <x:c r="C4" s="38"/>
      <x:c r="D4" s="38"/>
      <x:c r="E4" s="38"/>
      <x:c r="F4" s="38"/>
      <x:c r="G4" s="38"/>
      <x:c r="H4" s="38"/>
    </x:row>
    <x:row r="5" ht="36" customHeight="1">
      <x:c r="A5" s="24" t="str">
        <x:v>2. Ejecutar app.py desde la carpeta principal del proyecto.</x:v>
      </x:c>
      <x:c r="B5" s="24"/>
      <x:c r="C5" s="24"/>
      <x:c r="D5" s="24"/>
      <x:c r="E5" s="24"/>
      <x:c r="F5" s="24"/>
      <x:c r="G5" s="24"/>
      <x:c r="H5" s="24"/>
    </x:row>
    <x:row r="6" ht="36" customHeight="1">
      <x:c r="A6" s="38" t="str">
        <x:v>3. Cada sesión contiene cinco turnos consecutivos. Mantén la misma ejecución durante los cinco turnos.</x:v>
      </x:c>
      <x:c r="B6" s="38"/>
      <x:c r="C6" s="38"/>
      <x:c r="D6" s="38"/>
      <x:c r="E6" s="38"/>
      <x:c r="F6" s="38"/>
      <x:c r="G6" s="38"/>
      <x:c r="H6" s="38"/>
    </x:row>
    <x:row r="7" ht="36" customHeight="1">
      <x:c r="A7" s="24" t="str">
        <x:v>4. Reinicia app.py entre sesiones (así el contexto no contamina la sesión siguiente).</x:v>
      </x:c>
      <x:c r="B7" s="24"/>
      <x:c r="C7" s="24"/>
      <x:c r="D7" s="24"/>
      <x:c r="E7" s="24"/>
      <x:c r="F7" s="24"/>
      <x:c r="G7" s="24"/>
      <x:c r="H7" s="24"/>
    </x:row>
    <x:row r="8" ht="36" customHeight="1">
      <x:c r="A8" s="38" t="str">
        <x:v>5. Copia en 'Respuesta observada' una síntesis fiel o salida literal y registra cualquier error.</x:v>
      </x:c>
      <x:c r="B8" s="38"/>
      <x:c r="C8" s="38"/>
      <x:c r="D8" s="38"/>
      <x:c r="E8" s="38"/>
      <x:c r="F8" s="38"/>
      <x:c r="G8" s="38"/>
      <x:c r="H8" s="38"/>
    </x:row>
    <x:row r="9" ht="36" customHeight="1">
      <x:c r="A9" s="24" t="str">
        <x:v>6. Usa Correcto si responde al criterio, Parcial si es útil pero incompleto, Incorrecto si falla el objetivo o inventa datos.</x:v>
      </x:c>
      <x:c r="B9" s="24"/>
      <x:c r="C9" s="24"/>
      <x:c r="D9" s="24"/>
      <x:c r="E9" s="24"/>
      <x:c r="F9" s="24"/>
      <x:c r="G9" s="24"/>
      <x:c r="H9" s="24"/>
    </x:row>
    <x:row r="10" ht="36" customHeight="1">
      <x:c r="A10" s="38" t="str">
        <x:v>7. No inventes cantidades esperadas de ofertas; comprueba que no se mezclen universidad, programa y modalidad.</x:v>
      </x:c>
      <x:c r="B10" s="38"/>
      <x:c r="C10" s="38"/>
      <x:c r="D10" s="38"/>
      <x:c r="E10" s="38"/>
      <x:c r="F10" s="38"/>
      <x:c r="G10" s="38"/>
      <x:c r="H10" s="38"/>
    </x:row>
    <x:row r="11" ht="36" customHeight="1">
      <x:c r="A11" s="24" t="str">
        <x:v>8. Una respuesta sin ofertas puede ser correcta si el catálogo no contiene resultados para los filtros solicitados.</x:v>
      </x:c>
      <x:c r="B11" s="24"/>
      <x:c r="C11" s="24"/>
      <x:c r="D11" s="24"/>
      <x:c r="E11" s="24"/>
      <x:c r="F11" s="24"/>
      <x:c r="G11" s="24"/>
      <x:c r="H11" s="24"/>
    </x:row>
    <x:row r="12" ht="36" customHeight="1">
      <x:c r="A12" s="38" t="str">
        <x:v>9. Toda consulta debe distinguir registros de abril de 2021 de disponibilidad actual.</x:v>
      </x:c>
      <x:c r="B12" s="38"/>
      <x:c r="C12" s="38"/>
      <x:c r="D12" s="38"/>
      <x:c r="E12" s="38"/>
      <x:c r="F12" s="38"/>
      <x:c r="G12" s="38"/>
      <x:c r="H12" s="38"/>
    </x:row>
    <x:row r="13" ht="36" customHeight="1">
      <x:c r="A13" s="24" t="str">
        <x:v>10. Calcula el balance en Resumen solo cuando todas las 20 estén calificadas.</x:v>
      </x:c>
      <x:c r="B13" s="24"/>
      <x:c r="C13" s="24"/>
      <x:c r="D13" s="24"/>
      <x:c r="E13" s="24"/>
      <x:c r="F13" s="24"/>
      <x:c r="G13" s="24"/>
      <x:c r="H13" s="24"/>
    </x:row>
    <x:row r="14" ht="36" customHeight="1">
      <x:c r="A14" s="38" t="str">
        <x:v>11. Las preguntas no contienen respuestas oficiales verificadas; son criterios para revisión humana.</x:v>
      </x:c>
      <x:c r="B14" s="38"/>
      <x:c r="C14" s="38"/>
      <x:c r="D14" s="38"/>
      <x:c r="E14" s="38"/>
      <x:c r="F14" s="38"/>
      <x:c r="G14" s="38"/>
      <x:c r="H14" s="38"/>
    </x:row>
    <x:row r="15" ht="36" customHeight="1">
      <x:c r="A15" s="24" t="str">
        <x:v>12. Tras registrar los resultados, conservar archivos originales y analizar errores sin reescribir las calificaciones iniciales.</x:v>
      </x:c>
      <x:c r="B15" s="24"/>
      <x:c r="C15" s="24"/>
      <x:c r="D15" s="24"/>
      <x:c r="E15" s="24"/>
      <x:c r="F15" s="24"/>
      <x:c r="G15" s="24"/>
      <x:c r="H15" s="24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